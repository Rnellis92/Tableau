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OneDrive\Documents\"/>
    </mc:Choice>
  </mc:AlternateContent>
  <xr:revisionPtr revIDLastSave="0" documentId="13_ncr:1_{249798B2-044B-4740-B6BC-968E16A922E2}" xr6:coauthVersionLast="47" xr6:coauthVersionMax="47" xr10:uidLastSave="{00000000-0000-0000-0000-000000000000}"/>
  <bookViews>
    <workbookView xWindow="28680" yWindow="-45" windowWidth="29040" windowHeight="15720" xr2:uid="{5FB32010-C992-4894-B87A-56B0D2017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</calcChain>
</file>

<file path=xl/sharedStrings.xml><?xml version="1.0" encoding="utf-8"?>
<sst xmlns="http://schemas.openxmlformats.org/spreadsheetml/2006/main" count="789" uniqueCount="183">
  <si>
    <t>Animal</t>
  </si>
  <si>
    <t>Mammal</t>
  </si>
  <si>
    <t>Time Period</t>
  </si>
  <si>
    <t>Fence</t>
  </si>
  <si>
    <t>Space (x3)</t>
  </si>
  <si>
    <t>Sexual Maturity</t>
  </si>
  <si>
    <t>Maximum Age</t>
  </si>
  <si>
    <t>Clutch size</t>
  </si>
  <si>
    <t>Gestation Period</t>
  </si>
  <si>
    <t>Psittacosaurus sp.</t>
  </si>
  <si>
    <t>N</t>
  </si>
  <si>
    <t>Cretaceous</t>
  </si>
  <si>
    <t>Temperate</t>
  </si>
  <si>
    <t>Coastal</t>
  </si>
  <si>
    <t>N/A</t>
  </si>
  <si>
    <t>Low / 1m</t>
  </si>
  <si>
    <t>4 years</t>
  </si>
  <si>
    <t>18 years</t>
  </si>
  <si>
    <t>8 to 14</t>
  </si>
  <si>
    <t>2 months</t>
  </si>
  <si>
    <t>Psittacosaurus m.</t>
  </si>
  <si>
    <t>Desert</t>
  </si>
  <si>
    <t>3 years</t>
  </si>
  <si>
    <t>16 years</t>
  </si>
  <si>
    <t>6 to 12</t>
  </si>
  <si>
    <t>Leaellynasaura a.</t>
  </si>
  <si>
    <t>Wetland</t>
  </si>
  <si>
    <t>Boreal</t>
  </si>
  <si>
    <t>12 years</t>
  </si>
  <si>
    <t>3 to 8</t>
  </si>
  <si>
    <t>Psittacosaurus s.</t>
  </si>
  <si>
    <t>4 to 9</t>
  </si>
  <si>
    <t>Velociraptor m.</t>
  </si>
  <si>
    <t>Scrubland</t>
  </si>
  <si>
    <t>Low / 2.5m</t>
  </si>
  <si>
    <t>6 to 10</t>
  </si>
  <si>
    <t>Dryosaurus a.</t>
  </si>
  <si>
    <t>Jurassic</t>
  </si>
  <si>
    <t>Grassland</t>
  </si>
  <si>
    <t>7 years</t>
  </si>
  <si>
    <t>20 years</t>
  </si>
  <si>
    <t>3 to 9</t>
  </si>
  <si>
    <t>Protoceratops a.</t>
  </si>
  <si>
    <t>5 years</t>
  </si>
  <si>
    <t>4 to 8</t>
  </si>
  <si>
    <t>Coelophysis b.</t>
  </si>
  <si>
    <t>Triassic</t>
  </si>
  <si>
    <t>9 years</t>
  </si>
  <si>
    <t>7 to 12</t>
  </si>
  <si>
    <t>Oviraptor p.</t>
  </si>
  <si>
    <t>14 years</t>
  </si>
  <si>
    <t>2 to 5</t>
  </si>
  <si>
    <t>Scelidosaurus h.</t>
  </si>
  <si>
    <t>22 years</t>
  </si>
  <si>
    <t>3 to 5</t>
  </si>
  <si>
    <t>3 months</t>
  </si>
  <si>
    <t>Smilodon f.</t>
  </si>
  <si>
    <t>Y</t>
  </si>
  <si>
    <t>Quaternary</t>
  </si>
  <si>
    <t>Low / 4m</t>
  </si>
  <si>
    <t>4 months</t>
  </si>
  <si>
    <t>Panthera s.</t>
  </si>
  <si>
    <t>15 years</t>
  </si>
  <si>
    <t>Panthera a.</t>
  </si>
  <si>
    <t>Plateosaurus g.</t>
  </si>
  <si>
    <t>24 years</t>
  </si>
  <si>
    <t>5 to 9</t>
  </si>
  <si>
    <t>Smilodon p.</t>
  </si>
  <si>
    <t>Tropical</t>
  </si>
  <si>
    <t>Coelodonta a.</t>
  </si>
  <si>
    <t>Medium / 1m</t>
  </si>
  <si>
    <t>40 years</t>
  </si>
  <si>
    <t>15 months</t>
  </si>
  <si>
    <t>Juxia s.</t>
  </si>
  <si>
    <t>Paleogene</t>
  </si>
  <si>
    <t>30 years</t>
  </si>
  <si>
    <t>1 to 2</t>
  </si>
  <si>
    <t>16 months</t>
  </si>
  <si>
    <t>Mammuthus p.</t>
  </si>
  <si>
    <t>High / 2.5m</t>
  </si>
  <si>
    <t>60 years</t>
  </si>
  <si>
    <t>20 months</t>
  </si>
  <si>
    <t>Dilophosaurus w.</t>
  </si>
  <si>
    <t>Medium / 2.5m</t>
  </si>
  <si>
    <t>3 to 6</t>
  </si>
  <si>
    <t>Megaloceros g.</t>
  </si>
  <si>
    <t>1 to 3</t>
  </si>
  <si>
    <t>6 months</t>
  </si>
  <si>
    <t>Plateosaurus t.</t>
  </si>
  <si>
    <t>28 years</t>
  </si>
  <si>
    <t>4 to 6</t>
  </si>
  <si>
    <t>5 months</t>
  </si>
  <si>
    <t>Nasutoceratops t.</t>
  </si>
  <si>
    <t>Elasmotherium s.</t>
  </si>
  <si>
    <t>High / 1m</t>
  </si>
  <si>
    <t>17 months</t>
  </si>
  <si>
    <t>Sinotherium l.</t>
  </si>
  <si>
    <t>Neogene</t>
  </si>
  <si>
    <t>1  to 2</t>
  </si>
  <si>
    <t>Ursus s.</t>
  </si>
  <si>
    <t>Medium / 4m</t>
  </si>
  <si>
    <t>2 to 4</t>
  </si>
  <si>
    <t>7 months</t>
  </si>
  <si>
    <t>Parasaruolophus c.</t>
  </si>
  <si>
    <t>34 years</t>
  </si>
  <si>
    <t>5 to 8</t>
  </si>
  <si>
    <t>Ouranosaurus n.</t>
  </si>
  <si>
    <t>Ankylosaurus m.</t>
  </si>
  <si>
    <t>45 years</t>
  </si>
  <si>
    <t>Muttaburrasaurus l.</t>
  </si>
  <si>
    <t>Lambeosaurus l.</t>
  </si>
  <si>
    <t>35 years</t>
  </si>
  <si>
    <t>Ugrunaaluk k.</t>
  </si>
  <si>
    <t>26 years</t>
  </si>
  <si>
    <t>Styracosaurus a.</t>
  </si>
  <si>
    <t>38 years</t>
  </si>
  <si>
    <t>3 to 7</t>
  </si>
  <si>
    <t>Pachyrhinosaurus p.</t>
  </si>
  <si>
    <t>6 years</t>
  </si>
  <si>
    <t>Parasaurolophus w.</t>
  </si>
  <si>
    <t>8 years</t>
  </si>
  <si>
    <t>39 years</t>
  </si>
  <si>
    <t>4 to 7</t>
  </si>
  <si>
    <t>Edmontosaurus r.</t>
  </si>
  <si>
    <t>10 years</t>
  </si>
  <si>
    <t>33 years</t>
  </si>
  <si>
    <t>Iguanodon b.</t>
  </si>
  <si>
    <t>43 years</t>
  </si>
  <si>
    <t>2 to 6</t>
  </si>
  <si>
    <t>Charonosaurus j.</t>
  </si>
  <si>
    <t>50 years</t>
  </si>
  <si>
    <t>Deinocheirus m.</t>
  </si>
  <si>
    <t>High / 4m</t>
  </si>
  <si>
    <t>25 years</t>
  </si>
  <si>
    <t>2 to 8</t>
  </si>
  <si>
    <t>Pachyrhinosaurus l.</t>
  </si>
  <si>
    <t>31 years</t>
  </si>
  <si>
    <t>Edmontosaurus a.</t>
  </si>
  <si>
    <t>5 to 12</t>
  </si>
  <si>
    <t>Gallimimus b.</t>
  </si>
  <si>
    <t>5 to 10</t>
  </si>
  <si>
    <t>Pachyrhinosaurus c.</t>
  </si>
  <si>
    <t>36 years</t>
  </si>
  <si>
    <t>Carcharodontosaurus s.</t>
  </si>
  <si>
    <t>5 to 11</t>
  </si>
  <si>
    <t>Camarasaurus g.</t>
  </si>
  <si>
    <t>Extreme / 6m</t>
  </si>
  <si>
    <t>13 years</t>
  </si>
  <si>
    <t>80 years</t>
  </si>
  <si>
    <t>3 to 12</t>
  </si>
  <si>
    <t>8 months</t>
  </si>
  <si>
    <t>Apatosaurus a.</t>
  </si>
  <si>
    <t>90 years</t>
  </si>
  <si>
    <t>12 to 20</t>
  </si>
  <si>
    <t>Brontosaurus e.</t>
  </si>
  <si>
    <t>10 to 16</t>
  </si>
  <si>
    <t>Torvosaurus t.</t>
  </si>
  <si>
    <t>21 years</t>
  </si>
  <si>
    <t>Tarbosaurus b.</t>
  </si>
  <si>
    <t>Camarasaurus s.</t>
  </si>
  <si>
    <t>Triceratops p.</t>
  </si>
  <si>
    <t>44 years</t>
  </si>
  <si>
    <t>Spinosaurus a.</t>
  </si>
  <si>
    <t>Torvosaurus g.</t>
  </si>
  <si>
    <t>Camarasaurus l.</t>
  </si>
  <si>
    <t>Acrocanthosaurus</t>
  </si>
  <si>
    <t>Triceratops h.</t>
  </si>
  <si>
    <t>Paraceratherium b.</t>
  </si>
  <si>
    <t>23 months</t>
  </si>
  <si>
    <t>Tyrannosaurus r.</t>
  </si>
  <si>
    <t>11 years</t>
  </si>
  <si>
    <t>32 years</t>
  </si>
  <si>
    <t>Paraceratherium t.</t>
  </si>
  <si>
    <t>24 months</t>
  </si>
  <si>
    <t>Brachiosaurus a.</t>
  </si>
  <si>
    <t>Argentinosaurus h.</t>
  </si>
  <si>
    <t>9 to 14</t>
  </si>
  <si>
    <t>1st Biome</t>
  </si>
  <si>
    <t>2nd Biome</t>
  </si>
  <si>
    <t>3rd Biome</t>
  </si>
  <si>
    <t>4th biome</t>
  </si>
  <si>
    <t>5th biome</t>
  </si>
  <si>
    <t>&lt; 1500 Space (x3), &gt; 2 Years Sexual Maturity, Max Age &gt;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</si>
</sst>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Liberation San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Default" xfId="1" xr:uid="{295A2B01-0C33-4EEE-AE23-FCEAA0ADF50F}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F89BA2-FFF3-4CCA-8416-4833DC3B4322}" name="Table5" displayName="Table5" ref="A1:O61" totalsRowShown="0" headerRowDxfId="8" dataDxfId="7">
  <autoFilter ref="A1:O61" xr:uid="{AAF89BA2-FFF3-4CCA-8416-4833DC3B4322}"/>
  <tableColumns count="15">
    <tableColumn id="1" xr3:uid="{40DA6A8E-5CB7-494A-9D9B-0FFBDE2E93C9}" name="Animal" dataDxfId="22"/>
    <tableColumn id="2" xr3:uid="{B67AB2D2-DE59-4364-A02C-7AEE36FDC364}" name="Mammal" dataDxfId="21"/>
    <tableColumn id="3" xr3:uid="{CF6F83DD-59A6-430B-9AC4-420FE8447E26}" name="Time Period" dataDxfId="20"/>
    <tableColumn id="4" xr3:uid="{C2A5D407-BEDA-400A-A976-9D1416F4AE5E}" name="1st Biome" dataDxfId="19"/>
    <tableColumn id="5" xr3:uid="{54296790-EF72-47FD-BDF6-FA19CDBE1E08}" name="2nd Biome" dataDxfId="18"/>
    <tableColumn id="6" xr3:uid="{83BCF789-46AF-4376-A1EC-20E30D8E277F}" name="3rd Biome" dataDxfId="17"/>
    <tableColumn id="7" xr3:uid="{EF47EA2D-45D8-4285-BC4E-EB6288CFB4C8}" name="4th biome" dataDxfId="16"/>
    <tableColumn id="8" xr3:uid="{8980E80B-C532-4E45-B4B7-290A9CEC4C89}" name="5th biome" dataDxfId="15"/>
    <tableColumn id="9" xr3:uid="{AC54A1CF-7918-4A43-922E-3B4FDC768F0E}" name="Fence" dataDxfId="14"/>
    <tableColumn id="10" xr3:uid="{3C3136F3-0274-479D-9CB1-7E1329738C4E}" name="Space (x3)" dataDxfId="13"/>
    <tableColumn id="11" xr3:uid="{D46B76CB-03C6-44D3-819E-17934C1B5304}" name="Sexual Maturity" dataDxfId="12"/>
    <tableColumn id="12" xr3:uid="{E22EE09C-9145-40E3-847E-DF64A6A4E3CD}" name="Maximum Age" dataDxfId="11"/>
    <tableColumn id="13" xr3:uid="{2C52D492-E366-416D-A14C-B492D639EA06}" name="Clutch size" dataDxfId="10"/>
    <tableColumn id="14" xr3:uid="{F8BB632A-F87F-46B5-AFFE-1C8997FA8992}" name="Gestation Period" dataDxfId="9"/>
    <tableColumn id="16" xr3:uid="{134476AB-94FF-40EF-B97E-2580D449F788}" name="&lt; 1500 Space (x3), &gt; 2 Years Sexual Maturity, Max Age &gt; 18" dataDxfId="3">
      <calculatedColumnFormula>IF(AND(J2&lt;1200,K2&gt;2,L2&gt;18),"Yes","No")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89D9-44AB-4BFA-878B-23484444648C}">
  <dimension ref="A1:O61"/>
  <sheetViews>
    <sheetView tabSelected="1" workbookViewId="0">
      <selection activeCell="I22" sqref="I22"/>
    </sheetView>
  </sheetViews>
  <sheetFormatPr defaultRowHeight="15"/>
  <cols>
    <col min="1" max="1" width="22.85546875" bestFit="1" customWidth="1"/>
    <col min="2" max="2" width="13.140625" bestFit="1" customWidth="1"/>
    <col min="3" max="3" width="16.28515625" bestFit="1" customWidth="1"/>
    <col min="4" max="4" width="14.42578125" bestFit="1" customWidth="1"/>
    <col min="5" max="5" width="15" bestFit="1" customWidth="1"/>
    <col min="6" max="8" width="14.5703125" bestFit="1" customWidth="1"/>
    <col min="9" max="9" width="14.140625" bestFit="1" customWidth="1"/>
    <col min="10" max="10" width="14.85546875" bestFit="1" customWidth="1"/>
    <col min="11" max="11" width="19.5703125" bestFit="1" customWidth="1"/>
    <col min="12" max="12" width="18.140625" bestFit="1" customWidth="1"/>
    <col min="13" max="13" width="15.5703125" bestFit="1" customWidth="1"/>
    <col min="14" max="14" width="20.85546875" bestFit="1" customWidth="1"/>
    <col min="15" max="15" width="57.42578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182</v>
      </c>
    </row>
    <row r="2" spans="1:15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15</v>
      </c>
      <c r="J2" s="1">
        <v>313</v>
      </c>
      <c r="K2" s="1" t="s">
        <v>16</v>
      </c>
      <c r="L2" s="1" t="s">
        <v>17</v>
      </c>
      <c r="M2" s="1" t="s">
        <v>18</v>
      </c>
      <c r="N2" s="1" t="s">
        <v>19</v>
      </c>
      <c r="O2" s="1" t="str">
        <f t="shared" ref="O2:O33" si="0">IF(AND(J2&lt;1200,K2&gt;2,L2&gt;18),"Yes","No")</f>
        <v>Yes</v>
      </c>
    </row>
    <row r="3" spans="1:15">
      <c r="A3" s="2" t="s">
        <v>20</v>
      </c>
      <c r="B3" s="1" t="s">
        <v>10</v>
      </c>
      <c r="C3" s="1" t="s">
        <v>11</v>
      </c>
      <c r="D3" s="1" t="s">
        <v>21</v>
      </c>
      <c r="E3" s="1" t="s">
        <v>13</v>
      </c>
      <c r="F3" s="1" t="s">
        <v>14</v>
      </c>
      <c r="G3" s="1" t="s">
        <v>14</v>
      </c>
      <c r="H3" s="1" t="s">
        <v>14</v>
      </c>
      <c r="I3" s="1" t="s">
        <v>15</v>
      </c>
      <c r="J3" s="1">
        <v>325</v>
      </c>
      <c r="K3" s="1" t="s">
        <v>22</v>
      </c>
      <c r="L3" s="1" t="s">
        <v>23</v>
      </c>
      <c r="M3" s="1" t="s">
        <v>24</v>
      </c>
      <c r="N3" s="1" t="s">
        <v>19</v>
      </c>
      <c r="O3" s="1" t="str">
        <f t="shared" si="0"/>
        <v>Yes</v>
      </c>
    </row>
    <row r="4" spans="1:15">
      <c r="A4" s="2" t="s">
        <v>25</v>
      </c>
      <c r="B4" s="1" t="s">
        <v>10</v>
      </c>
      <c r="C4" s="1" t="s">
        <v>11</v>
      </c>
      <c r="D4" s="1" t="s">
        <v>26</v>
      </c>
      <c r="E4" s="1" t="s">
        <v>12</v>
      </c>
      <c r="F4" s="1" t="s">
        <v>13</v>
      </c>
      <c r="G4" s="1" t="s">
        <v>27</v>
      </c>
      <c r="H4" s="1" t="s">
        <v>14</v>
      </c>
      <c r="I4" s="1" t="s">
        <v>15</v>
      </c>
      <c r="J4" s="1">
        <v>345</v>
      </c>
      <c r="K4" s="1" t="s">
        <v>22</v>
      </c>
      <c r="L4" s="1" t="s">
        <v>28</v>
      </c>
      <c r="M4" s="1" t="s">
        <v>29</v>
      </c>
      <c r="N4" s="1" t="s">
        <v>19</v>
      </c>
      <c r="O4" s="1" t="str">
        <f t="shared" si="0"/>
        <v>Yes</v>
      </c>
    </row>
    <row r="5" spans="1:15">
      <c r="A5" s="2" t="s">
        <v>30</v>
      </c>
      <c r="B5" s="1" t="s">
        <v>10</v>
      </c>
      <c r="C5" s="1" t="s">
        <v>11</v>
      </c>
      <c r="D5" s="1" t="s">
        <v>26</v>
      </c>
      <c r="E5" s="1" t="s">
        <v>13</v>
      </c>
      <c r="F5" s="1" t="s">
        <v>14</v>
      </c>
      <c r="G5" s="1" t="s">
        <v>14</v>
      </c>
      <c r="H5" s="1" t="s">
        <v>14</v>
      </c>
      <c r="I5" s="1" t="s">
        <v>15</v>
      </c>
      <c r="J5" s="1">
        <v>401</v>
      </c>
      <c r="K5" s="1" t="s">
        <v>22</v>
      </c>
      <c r="L5" s="1" t="s">
        <v>23</v>
      </c>
      <c r="M5" s="1" t="s">
        <v>31</v>
      </c>
      <c r="N5" s="1" t="s">
        <v>19</v>
      </c>
      <c r="O5" s="1" t="str">
        <f t="shared" si="0"/>
        <v>Yes</v>
      </c>
    </row>
    <row r="6" spans="1:15">
      <c r="A6" s="2" t="s">
        <v>32</v>
      </c>
      <c r="B6" s="1" t="s">
        <v>10</v>
      </c>
      <c r="C6" s="1" t="s">
        <v>11</v>
      </c>
      <c r="D6" s="1" t="s">
        <v>21</v>
      </c>
      <c r="E6" s="1" t="s">
        <v>33</v>
      </c>
      <c r="F6" s="1" t="s">
        <v>14</v>
      </c>
      <c r="G6" s="1" t="s">
        <v>14</v>
      </c>
      <c r="H6" s="1" t="s">
        <v>14</v>
      </c>
      <c r="I6" s="1" t="s">
        <v>34</v>
      </c>
      <c r="J6" s="1">
        <v>625</v>
      </c>
      <c r="K6" s="1" t="s">
        <v>22</v>
      </c>
      <c r="L6" s="1" t="s">
        <v>28</v>
      </c>
      <c r="M6" s="1" t="s">
        <v>35</v>
      </c>
      <c r="N6" s="1" t="s">
        <v>19</v>
      </c>
      <c r="O6" s="1" t="str">
        <f t="shared" si="0"/>
        <v>Yes</v>
      </c>
    </row>
    <row r="7" spans="1:15">
      <c r="A7" s="2" t="s">
        <v>36</v>
      </c>
      <c r="B7" s="1" t="s">
        <v>10</v>
      </c>
      <c r="C7" s="1" t="s">
        <v>37</v>
      </c>
      <c r="D7" s="1" t="s">
        <v>21</v>
      </c>
      <c r="E7" s="1" t="s">
        <v>38</v>
      </c>
      <c r="F7" s="1" t="s">
        <v>33</v>
      </c>
      <c r="G7" s="1" t="s">
        <v>13</v>
      </c>
      <c r="H7" s="1" t="s">
        <v>14</v>
      </c>
      <c r="I7" s="1" t="s">
        <v>15</v>
      </c>
      <c r="J7" s="1">
        <v>641</v>
      </c>
      <c r="K7" s="1" t="s">
        <v>39</v>
      </c>
      <c r="L7" s="1" t="s">
        <v>40</v>
      </c>
      <c r="M7" s="1" t="s">
        <v>41</v>
      </c>
      <c r="N7" s="1" t="s">
        <v>19</v>
      </c>
      <c r="O7" s="1" t="str">
        <f t="shared" si="0"/>
        <v>Yes</v>
      </c>
    </row>
    <row r="8" spans="1:15">
      <c r="A8" s="2" t="s">
        <v>42</v>
      </c>
      <c r="B8" s="1" t="s">
        <v>10</v>
      </c>
      <c r="C8" s="1" t="s">
        <v>11</v>
      </c>
      <c r="D8" s="1" t="s">
        <v>21</v>
      </c>
      <c r="E8" s="1" t="s">
        <v>33</v>
      </c>
      <c r="F8" s="1" t="s">
        <v>14</v>
      </c>
      <c r="G8" s="1" t="s">
        <v>14</v>
      </c>
      <c r="H8" s="1" t="s">
        <v>14</v>
      </c>
      <c r="I8" s="1" t="s">
        <v>15</v>
      </c>
      <c r="J8" s="1">
        <v>650</v>
      </c>
      <c r="K8" s="1" t="s">
        <v>43</v>
      </c>
      <c r="L8" s="1" t="s">
        <v>17</v>
      </c>
      <c r="M8" s="1" t="s">
        <v>44</v>
      </c>
      <c r="N8" s="1" t="s">
        <v>19</v>
      </c>
      <c r="O8" s="1" t="str">
        <f t="shared" si="0"/>
        <v>Yes</v>
      </c>
    </row>
    <row r="9" spans="1:15">
      <c r="A9" s="2" t="s">
        <v>45</v>
      </c>
      <c r="B9" s="1" t="s">
        <v>10</v>
      </c>
      <c r="C9" s="1" t="s">
        <v>46</v>
      </c>
      <c r="D9" s="1" t="s">
        <v>21</v>
      </c>
      <c r="E9" s="1" t="s">
        <v>13</v>
      </c>
      <c r="F9" s="1" t="s">
        <v>14</v>
      </c>
      <c r="G9" s="1" t="s">
        <v>14</v>
      </c>
      <c r="H9" s="1" t="s">
        <v>14</v>
      </c>
      <c r="I9" s="1" t="s">
        <v>34</v>
      </c>
      <c r="J9" s="1">
        <v>675</v>
      </c>
      <c r="K9" s="1" t="s">
        <v>22</v>
      </c>
      <c r="L9" s="1" t="s">
        <v>47</v>
      </c>
      <c r="M9" s="1" t="s">
        <v>48</v>
      </c>
      <c r="N9" s="1" t="s">
        <v>19</v>
      </c>
      <c r="O9" s="1" t="str">
        <f t="shared" si="0"/>
        <v>Yes</v>
      </c>
    </row>
    <row r="10" spans="1:15">
      <c r="A10" s="2" t="s">
        <v>49</v>
      </c>
      <c r="B10" s="1" t="s">
        <v>10</v>
      </c>
      <c r="C10" s="1" t="s">
        <v>11</v>
      </c>
      <c r="D10" s="1" t="s">
        <v>21</v>
      </c>
      <c r="E10" s="1" t="s">
        <v>38</v>
      </c>
      <c r="F10" s="1" t="s">
        <v>33</v>
      </c>
      <c r="G10" s="1" t="s">
        <v>14</v>
      </c>
      <c r="H10" s="1" t="s">
        <v>14</v>
      </c>
      <c r="I10" s="1" t="s">
        <v>34</v>
      </c>
      <c r="J10" s="1">
        <v>713</v>
      </c>
      <c r="K10" s="1" t="s">
        <v>22</v>
      </c>
      <c r="L10" s="1" t="s">
        <v>50</v>
      </c>
      <c r="M10" s="1" t="s">
        <v>51</v>
      </c>
      <c r="N10" s="1" t="s">
        <v>19</v>
      </c>
      <c r="O10" s="1" t="str">
        <f t="shared" si="0"/>
        <v>Yes</v>
      </c>
    </row>
    <row r="11" spans="1:15">
      <c r="A11" s="2" t="s">
        <v>52</v>
      </c>
      <c r="B11" s="1" t="s">
        <v>10</v>
      </c>
      <c r="C11" s="1" t="s">
        <v>37</v>
      </c>
      <c r="D11" s="1" t="s">
        <v>26</v>
      </c>
      <c r="E11" s="1" t="s">
        <v>33</v>
      </c>
      <c r="F11" s="1" t="s">
        <v>13</v>
      </c>
      <c r="G11" s="1" t="s">
        <v>14</v>
      </c>
      <c r="H11" s="1" t="s">
        <v>14</v>
      </c>
      <c r="I11" s="1" t="s">
        <v>15</v>
      </c>
      <c r="J11" s="1">
        <v>734</v>
      </c>
      <c r="K11" s="1" t="s">
        <v>22</v>
      </c>
      <c r="L11" s="1" t="s">
        <v>53</v>
      </c>
      <c r="M11" s="1" t="s">
        <v>54</v>
      </c>
      <c r="N11" s="1" t="s">
        <v>55</v>
      </c>
      <c r="O11" s="1" t="str">
        <f t="shared" si="0"/>
        <v>Yes</v>
      </c>
    </row>
    <row r="12" spans="1:15">
      <c r="A12" s="2" t="s">
        <v>56</v>
      </c>
      <c r="B12" s="1" t="s">
        <v>57</v>
      </c>
      <c r="C12" s="1" t="s">
        <v>58</v>
      </c>
      <c r="D12" s="1" t="s">
        <v>38</v>
      </c>
      <c r="E12" s="1" t="s">
        <v>33</v>
      </c>
      <c r="F12" s="1" t="s">
        <v>12</v>
      </c>
      <c r="G12" s="1" t="s">
        <v>13</v>
      </c>
      <c r="H12" s="1" t="s">
        <v>14</v>
      </c>
      <c r="I12" s="1" t="s">
        <v>59</v>
      </c>
      <c r="J12" s="1">
        <v>825</v>
      </c>
      <c r="K12" s="1" t="s">
        <v>22</v>
      </c>
      <c r="L12" s="1" t="s">
        <v>23</v>
      </c>
      <c r="M12" s="1" t="s">
        <v>54</v>
      </c>
      <c r="N12" s="1" t="s">
        <v>60</v>
      </c>
      <c r="O12" s="1" t="str">
        <f t="shared" si="0"/>
        <v>Yes</v>
      </c>
    </row>
    <row r="13" spans="1:15">
      <c r="A13" s="2" t="s">
        <v>61</v>
      </c>
      <c r="B13" s="1" t="s">
        <v>57</v>
      </c>
      <c r="C13" s="1" t="s">
        <v>58</v>
      </c>
      <c r="D13" s="1" t="s">
        <v>12</v>
      </c>
      <c r="E13" s="1" t="s">
        <v>13</v>
      </c>
      <c r="F13" s="1" t="s">
        <v>27</v>
      </c>
      <c r="G13" s="1" t="s">
        <v>14</v>
      </c>
      <c r="H13" s="1" t="s">
        <v>14</v>
      </c>
      <c r="I13" s="1" t="s">
        <v>59</v>
      </c>
      <c r="J13" s="1">
        <v>860</v>
      </c>
      <c r="K13" s="1" t="s">
        <v>22</v>
      </c>
      <c r="L13" s="1" t="s">
        <v>62</v>
      </c>
      <c r="M13" s="1" t="s">
        <v>54</v>
      </c>
      <c r="N13" s="1" t="s">
        <v>60</v>
      </c>
      <c r="O13" s="1" t="str">
        <f t="shared" si="0"/>
        <v>Yes</v>
      </c>
    </row>
    <row r="14" spans="1:15">
      <c r="A14" s="2" t="s">
        <v>63</v>
      </c>
      <c r="B14" s="1" t="s">
        <v>57</v>
      </c>
      <c r="C14" s="1" t="s">
        <v>58</v>
      </c>
      <c r="D14" s="1" t="s">
        <v>38</v>
      </c>
      <c r="E14" s="1" t="s">
        <v>33</v>
      </c>
      <c r="F14" s="1" t="s">
        <v>12</v>
      </c>
      <c r="G14" s="1" t="s">
        <v>13</v>
      </c>
      <c r="H14" s="1" t="s">
        <v>14</v>
      </c>
      <c r="I14" s="1" t="s">
        <v>59</v>
      </c>
      <c r="J14" s="1">
        <v>900</v>
      </c>
      <c r="K14" s="1" t="s">
        <v>22</v>
      </c>
      <c r="L14" s="1" t="s">
        <v>62</v>
      </c>
      <c r="M14" s="1" t="s">
        <v>54</v>
      </c>
      <c r="N14" s="1" t="s">
        <v>60</v>
      </c>
      <c r="O14" s="1" t="str">
        <f t="shared" si="0"/>
        <v>Yes</v>
      </c>
    </row>
    <row r="15" spans="1:15">
      <c r="A15" s="2" t="s">
        <v>64</v>
      </c>
      <c r="B15" s="1" t="s">
        <v>10</v>
      </c>
      <c r="C15" s="1" t="s">
        <v>46</v>
      </c>
      <c r="D15" s="1" t="s">
        <v>21</v>
      </c>
      <c r="E15" s="1" t="s">
        <v>38</v>
      </c>
      <c r="F15" s="1" t="s">
        <v>33</v>
      </c>
      <c r="G15" s="1" t="s">
        <v>14</v>
      </c>
      <c r="H15" s="1" t="s">
        <v>14</v>
      </c>
      <c r="I15" s="1" t="s">
        <v>15</v>
      </c>
      <c r="J15" s="1">
        <v>994</v>
      </c>
      <c r="K15" s="1" t="s">
        <v>16</v>
      </c>
      <c r="L15" s="1" t="s">
        <v>65</v>
      </c>
      <c r="M15" s="1" t="s">
        <v>66</v>
      </c>
      <c r="N15" s="1" t="s">
        <v>60</v>
      </c>
      <c r="O15" s="1" t="str">
        <f t="shared" si="0"/>
        <v>Yes</v>
      </c>
    </row>
    <row r="16" spans="1:15">
      <c r="A16" s="2" t="s">
        <v>67</v>
      </c>
      <c r="B16" s="1" t="s">
        <v>57</v>
      </c>
      <c r="C16" s="1" t="s">
        <v>58</v>
      </c>
      <c r="D16" s="1" t="s">
        <v>38</v>
      </c>
      <c r="E16" s="1" t="s">
        <v>68</v>
      </c>
      <c r="F16" s="1" t="s">
        <v>33</v>
      </c>
      <c r="G16" s="1" t="s">
        <v>13</v>
      </c>
      <c r="H16" s="1" t="s">
        <v>14</v>
      </c>
      <c r="I16" s="1" t="s">
        <v>59</v>
      </c>
      <c r="J16" s="1">
        <v>1100</v>
      </c>
      <c r="K16" s="1" t="s">
        <v>22</v>
      </c>
      <c r="L16" s="1" t="s">
        <v>23</v>
      </c>
      <c r="M16" s="1" t="s">
        <v>54</v>
      </c>
      <c r="N16" s="1" t="s">
        <v>60</v>
      </c>
      <c r="O16" s="1" t="str">
        <f t="shared" si="0"/>
        <v>Yes</v>
      </c>
    </row>
    <row r="17" spans="1:15">
      <c r="A17" s="2" t="s">
        <v>69</v>
      </c>
      <c r="B17" s="1" t="s">
        <v>57</v>
      </c>
      <c r="C17" s="1" t="s">
        <v>58</v>
      </c>
      <c r="D17" s="1" t="s">
        <v>12</v>
      </c>
      <c r="E17" s="1" t="s">
        <v>27</v>
      </c>
      <c r="F17" s="1" t="s">
        <v>14</v>
      </c>
      <c r="G17" s="1" t="s">
        <v>14</v>
      </c>
      <c r="H17" s="1" t="s">
        <v>14</v>
      </c>
      <c r="I17" s="1" t="s">
        <v>70</v>
      </c>
      <c r="J17" s="1">
        <v>1168</v>
      </c>
      <c r="K17" s="1" t="s">
        <v>39</v>
      </c>
      <c r="L17" s="1" t="s">
        <v>71</v>
      </c>
      <c r="M17" s="1">
        <v>1</v>
      </c>
      <c r="N17" s="1" t="s">
        <v>72</v>
      </c>
      <c r="O17" s="1" t="str">
        <f t="shared" si="0"/>
        <v>Yes</v>
      </c>
    </row>
    <row r="18" spans="1:15">
      <c r="A18" s="3" t="s">
        <v>73</v>
      </c>
      <c r="B18" s="1" t="s">
        <v>57</v>
      </c>
      <c r="C18" s="1" t="s">
        <v>74</v>
      </c>
      <c r="D18" s="1" t="s">
        <v>68</v>
      </c>
      <c r="E18" s="1" t="s">
        <v>12</v>
      </c>
      <c r="F18" s="1" t="s">
        <v>14</v>
      </c>
      <c r="G18" s="1" t="s">
        <v>14</v>
      </c>
      <c r="H18" s="1" t="s">
        <v>14</v>
      </c>
      <c r="I18" s="1" t="s">
        <v>34</v>
      </c>
      <c r="J18" s="1">
        <v>1320</v>
      </c>
      <c r="K18" s="1" t="s">
        <v>43</v>
      </c>
      <c r="L18" s="1" t="s">
        <v>75</v>
      </c>
      <c r="M18" s="1" t="s">
        <v>76</v>
      </c>
      <c r="N18" s="1" t="s">
        <v>77</v>
      </c>
      <c r="O18" s="1" t="str">
        <f t="shared" si="0"/>
        <v>No</v>
      </c>
    </row>
    <row r="19" spans="1:15">
      <c r="A19" s="3" t="s">
        <v>78</v>
      </c>
      <c r="B19" s="1" t="s">
        <v>57</v>
      </c>
      <c r="C19" s="1" t="s">
        <v>58</v>
      </c>
      <c r="D19" s="1" t="s">
        <v>27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79</v>
      </c>
      <c r="J19" s="1">
        <v>1435</v>
      </c>
      <c r="K19" s="1" t="s">
        <v>39</v>
      </c>
      <c r="L19" s="1" t="s">
        <v>80</v>
      </c>
      <c r="M19" s="1">
        <v>1</v>
      </c>
      <c r="N19" s="1" t="s">
        <v>81</v>
      </c>
      <c r="O19" s="1" t="str">
        <f t="shared" si="0"/>
        <v>No</v>
      </c>
    </row>
    <row r="20" spans="1:15">
      <c r="A20" s="3" t="s">
        <v>82</v>
      </c>
      <c r="B20" s="1" t="s">
        <v>10</v>
      </c>
      <c r="C20" s="1" t="s">
        <v>37</v>
      </c>
      <c r="D20" s="1" t="s">
        <v>21</v>
      </c>
      <c r="E20" s="1" t="s">
        <v>26</v>
      </c>
      <c r="F20" s="1" t="s">
        <v>14</v>
      </c>
      <c r="G20" s="1" t="s">
        <v>14</v>
      </c>
      <c r="H20" s="1" t="s">
        <v>14</v>
      </c>
      <c r="I20" s="1" t="s">
        <v>83</v>
      </c>
      <c r="J20" s="1">
        <v>1525</v>
      </c>
      <c r="K20" s="1" t="s">
        <v>43</v>
      </c>
      <c r="L20" s="1" t="s">
        <v>62</v>
      </c>
      <c r="M20" s="1" t="s">
        <v>84</v>
      </c>
      <c r="N20" s="1" t="s">
        <v>60</v>
      </c>
      <c r="O20" s="1" t="str">
        <f t="shared" si="0"/>
        <v>No</v>
      </c>
    </row>
    <row r="21" spans="1:15">
      <c r="A21" s="3" t="s">
        <v>85</v>
      </c>
      <c r="B21" s="1" t="s">
        <v>57</v>
      </c>
      <c r="C21" s="1" t="s">
        <v>58</v>
      </c>
      <c r="D21" s="1" t="s">
        <v>12</v>
      </c>
      <c r="E21" s="1" t="s">
        <v>13</v>
      </c>
      <c r="F21" s="1" t="s">
        <v>27</v>
      </c>
      <c r="G21" s="1" t="s">
        <v>14</v>
      </c>
      <c r="H21" s="1" t="s">
        <v>14</v>
      </c>
      <c r="I21" s="1" t="s">
        <v>34</v>
      </c>
      <c r="J21" s="1">
        <v>1690</v>
      </c>
      <c r="K21" s="1" t="s">
        <v>16</v>
      </c>
      <c r="L21" s="1" t="s">
        <v>23</v>
      </c>
      <c r="M21" s="1" t="s">
        <v>86</v>
      </c>
      <c r="N21" s="1" t="s">
        <v>87</v>
      </c>
      <c r="O21" s="1" t="str">
        <f t="shared" si="0"/>
        <v>No</v>
      </c>
    </row>
    <row r="22" spans="1:15">
      <c r="A22" s="3" t="s">
        <v>88</v>
      </c>
      <c r="B22" s="1" t="s">
        <v>10</v>
      </c>
      <c r="C22" s="1" t="s">
        <v>46</v>
      </c>
      <c r="D22" s="1" t="s">
        <v>21</v>
      </c>
      <c r="E22" s="1" t="s">
        <v>38</v>
      </c>
      <c r="F22" s="1" t="s">
        <v>33</v>
      </c>
      <c r="G22" s="1" t="s">
        <v>14</v>
      </c>
      <c r="H22" s="1" t="s">
        <v>14</v>
      </c>
      <c r="I22" s="1" t="s">
        <v>83</v>
      </c>
      <c r="J22" s="1">
        <v>1704</v>
      </c>
      <c r="K22" s="1" t="s">
        <v>16</v>
      </c>
      <c r="L22" s="1" t="s">
        <v>89</v>
      </c>
      <c r="M22" s="1" t="s">
        <v>90</v>
      </c>
      <c r="N22" s="1" t="s">
        <v>91</v>
      </c>
      <c r="O22" s="1" t="str">
        <f t="shared" si="0"/>
        <v>No</v>
      </c>
    </row>
    <row r="23" spans="1:15">
      <c r="A23" s="3" t="s">
        <v>92</v>
      </c>
      <c r="B23" s="1" t="s">
        <v>10</v>
      </c>
      <c r="C23" s="1" t="s">
        <v>11</v>
      </c>
      <c r="D23" s="1" t="s">
        <v>68</v>
      </c>
      <c r="E23" s="1" t="s">
        <v>26</v>
      </c>
      <c r="F23" s="1" t="s">
        <v>14</v>
      </c>
      <c r="G23" s="1" t="s">
        <v>14</v>
      </c>
      <c r="H23" s="1" t="s">
        <v>14</v>
      </c>
      <c r="I23" s="1" t="s">
        <v>70</v>
      </c>
      <c r="J23" s="1">
        <v>1750</v>
      </c>
      <c r="K23" s="1" t="s">
        <v>22</v>
      </c>
      <c r="L23" s="1" t="s">
        <v>65</v>
      </c>
      <c r="M23" s="1" t="s">
        <v>54</v>
      </c>
      <c r="N23" s="1" t="s">
        <v>60</v>
      </c>
      <c r="O23" s="1" t="str">
        <f t="shared" si="0"/>
        <v>No</v>
      </c>
    </row>
    <row r="24" spans="1:15">
      <c r="A24" s="3" t="s">
        <v>93</v>
      </c>
      <c r="B24" s="1" t="s">
        <v>57</v>
      </c>
      <c r="C24" s="1" t="s">
        <v>58</v>
      </c>
      <c r="D24" s="1" t="s">
        <v>27</v>
      </c>
      <c r="E24" s="1" t="s">
        <v>14</v>
      </c>
      <c r="F24" s="1" t="s">
        <v>14</v>
      </c>
      <c r="G24" s="1" t="s">
        <v>14</v>
      </c>
      <c r="H24" s="1" t="s">
        <v>14</v>
      </c>
      <c r="I24" s="1" t="s">
        <v>94</v>
      </c>
      <c r="J24" s="1">
        <v>1840</v>
      </c>
      <c r="K24" s="1" t="s">
        <v>39</v>
      </c>
      <c r="L24" s="1" t="s">
        <v>71</v>
      </c>
      <c r="M24" s="1" t="s">
        <v>76</v>
      </c>
      <c r="N24" s="1" t="s">
        <v>95</v>
      </c>
      <c r="O24" s="1" t="str">
        <f t="shared" si="0"/>
        <v>No</v>
      </c>
    </row>
    <row r="25" spans="1:15">
      <c r="A25" s="3" t="s">
        <v>96</v>
      </c>
      <c r="B25" s="1" t="s">
        <v>57</v>
      </c>
      <c r="C25" s="1" t="s">
        <v>97</v>
      </c>
      <c r="D25" s="1" t="s">
        <v>38</v>
      </c>
      <c r="E25" s="1" t="s">
        <v>33</v>
      </c>
      <c r="F25" s="1" t="s">
        <v>14</v>
      </c>
      <c r="G25" s="1" t="s">
        <v>14</v>
      </c>
      <c r="H25" s="1" t="s">
        <v>14</v>
      </c>
      <c r="I25" s="1" t="s">
        <v>70</v>
      </c>
      <c r="J25" s="1">
        <v>1840</v>
      </c>
      <c r="K25" s="1" t="s">
        <v>39</v>
      </c>
      <c r="L25" s="1" t="s">
        <v>71</v>
      </c>
      <c r="M25" s="1" t="s">
        <v>98</v>
      </c>
      <c r="N25" s="1" t="s">
        <v>77</v>
      </c>
      <c r="O25" s="1" t="str">
        <f t="shared" si="0"/>
        <v>No</v>
      </c>
    </row>
    <row r="26" spans="1:15">
      <c r="A26" s="1" t="s">
        <v>99</v>
      </c>
      <c r="B26" s="1" t="s">
        <v>57</v>
      </c>
      <c r="C26" s="1" t="s">
        <v>58</v>
      </c>
      <c r="D26" s="1" t="s">
        <v>12</v>
      </c>
      <c r="E26" s="1" t="s">
        <v>13</v>
      </c>
      <c r="F26" s="1" t="s">
        <v>27</v>
      </c>
      <c r="G26" s="1" t="s">
        <v>14</v>
      </c>
      <c r="H26" s="1" t="s">
        <v>14</v>
      </c>
      <c r="I26" s="1" t="s">
        <v>100</v>
      </c>
      <c r="J26" s="1">
        <v>2130</v>
      </c>
      <c r="K26" s="1" t="s">
        <v>22</v>
      </c>
      <c r="L26" s="1" t="s">
        <v>65</v>
      </c>
      <c r="M26" s="1" t="s">
        <v>101</v>
      </c>
      <c r="N26" s="1" t="s">
        <v>102</v>
      </c>
      <c r="O26" s="1" t="str">
        <f t="shared" si="0"/>
        <v>No</v>
      </c>
    </row>
    <row r="27" spans="1:15">
      <c r="A27" s="1" t="s">
        <v>103</v>
      </c>
      <c r="B27" s="1" t="s">
        <v>10</v>
      </c>
      <c r="C27" s="1" t="s">
        <v>11</v>
      </c>
      <c r="D27" s="1" t="s">
        <v>68</v>
      </c>
      <c r="E27" s="1" t="s">
        <v>26</v>
      </c>
      <c r="F27" s="1" t="s">
        <v>14</v>
      </c>
      <c r="G27" s="1" t="s">
        <v>14</v>
      </c>
      <c r="H27" s="1" t="s">
        <v>14</v>
      </c>
      <c r="I27" s="1" t="s">
        <v>34</v>
      </c>
      <c r="J27" s="1">
        <v>2603</v>
      </c>
      <c r="K27" s="1" t="s">
        <v>39</v>
      </c>
      <c r="L27" s="1" t="s">
        <v>104</v>
      </c>
      <c r="M27" s="1" t="s">
        <v>105</v>
      </c>
      <c r="N27" s="1" t="s">
        <v>91</v>
      </c>
      <c r="O27" s="1" t="str">
        <f t="shared" si="0"/>
        <v>No</v>
      </c>
    </row>
    <row r="28" spans="1:15">
      <c r="A28" s="1" t="s">
        <v>106</v>
      </c>
      <c r="B28" s="1" t="s">
        <v>10</v>
      </c>
      <c r="C28" s="1" t="s">
        <v>11</v>
      </c>
      <c r="D28" s="1" t="s">
        <v>38</v>
      </c>
      <c r="E28" s="1" t="s">
        <v>68</v>
      </c>
      <c r="F28" s="1" t="s">
        <v>26</v>
      </c>
      <c r="G28" s="1" t="s">
        <v>13</v>
      </c>
      <c r="H28" s="1" t="s">
        <v>14</v>
      </c>
      <c r="I28" s="1" t="s">
        <v>34</v>
      </c>
      <c r="J28" s="1">
        <v>2650</v>
      </c>
      <c r="K28" s="1" t="s">
        <v>16</v>
      </c>
      <c r="L28" s="1" t="s">
        <v>17</v>
      </c>
      <c r="M28" s="1" t="s">
        <v>54</v>
      </c>
      <c r="N28" s="1" t="s">
        <v>60</v>
      </c>
      <c r="O28" s="1" t="str">
        <f t="shared" si="0"/>
        <v>No</v>
      </c>
    </row>
    <row r="29" spans="1:15">
      <c r="A29" s="1" t="s">
        <v>107</v>
      </c>
      <c r="B29" s="1" t="s">
        <v>10</v>
      </c>
      <c r="C29" s="1" t="s">
        <v>11</v>
      </c>
      <c r="D29" s="1" t="s">
        <v>68</v>
      </c>
      <c r="E29" s="1" t="s">
        <v>26</v>
      </c>
      <c r="F29" s="1" t="s">
        <v>13</v>
      </c>
      <c r="G29" s="1" t="s">
        <v>14</v>
      </c>
      <c r="H29" s="1" t="s">
        <v>14</v>
      </c>
      <c r="I29" s="1" t="s">
        <v>94</v>
      </c>
      <c r="J29" s="1">
        <v>2792</v>
      </c>
      <c r="K29" s="1" t="s">
        <v>43</v>
      </c>
      <c r="L29" s="1" t="s">
        <v>108</v>
      </c>
      <c r="M29" s="1" t="s">
        <v>84</v>
      </c>
      <c r="N29" s="1" t="s">
        <v>91</v>
      </c>
      <c r="O29" s="1" t="str">
        <f t="shared" si="0"/>
        <v>No</v>
      </c>
    </row>
    <row r="30" spans="1:15">
      <c r="A30" s="1" t="s">
        <v>109</v>
      </c>
      <c r="B30" s="1" t="s">
        <v>10</v>
      </c>
      <c r="C30" s="1" t="s">
        <v>11</v>
      </c>
      <c r="D30" s="1" t="s">
        <v>38</v>
      </c>
      <c r="E30" s="1" t="s">
        <v>68</v>
      </c>
      <c r="F30" s="1" t="s">
        <v>26</v>
      </c>
      <c r="G30" s="1" t="s">
        <v>14</v>
      </c>
      <c r="H30" s="1" t="s">
        <v>14</v>
      </c>
      <c r="I30" s="1" t="s">
        <v>83</v>
      </c>
      <c r="J30" s="1">
        <v>2796</v>
      </c>
      <c r="K30" s="1" t="s">
        <v>43</v>
      </c>
      <c r="L30" s="1" t="s">
        <v>40</v>
      </c>
      <c r="M30" s="1" t="s">
        <v>84</v>
      </c>
      <c r="N30" s="1" t="s">
        <v>60</v>
      </c>
      <c r="O30" s="1" t="str">
        <f t="shared" si="0"/>
        <v>No</v>
      </c>
    </row>
    <row r="31" spans="1:15">
      <c r="A31" s="1" t="s">
        <v>110</v>
      </c>
      <c r="B31" s="1" t="s">
        <v>10</v>
      </c>
      <c r="C31" s="1" t="s">
        <v>11</v>
      </c>
      <c r="D31" s="1" t="s">
        <v>26</v>
      </c>
      <c r="E31" s="1" t="s">
        <v>12</v>
      </c>
      <c r="F31" s="1" t="s">
        <v>13</v>
      </c>
      <c r="G31" s="1" t="s">
        <v>14</v>
      </c>
      <c r="H31" s="1" t="s">
        <v>14</v>
      </c>
      <c r="I31" s="1" t="s">
        <v>83</v>
      </c>
      <c r="J31" s="1">
        <v>2813</v>
      </c>
      <c r="K31" s="1" t="s">
        <v>39</v>
      </c>
      <c r="L31" s="1" t="s">
        <v>111</v>
      </c>
      <c r="M31" s="1" t="s">
        <v>105</v>
      </c>
      <c r="N31" s="1" t="s">
        <v>91</v>
      </c>
      <c r="O31" s="1" t="str">
        <f t="shared" si="0"/>
        <v>No</v>
      </c>
    </row>
    <row r="32" spans="1:15">
      <c r="A32" s="1" t="s">
        <v>112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27</v>
      </c>
      <c r="G32" s="1" t="s">
        <v>14</v>
      </c>
      <c r="H32" s="1" t="s">
        <v>14</v>
      </c>
      <c r="I32" s="1" t="s">
        <v>34</v>
      </c>
      <c r="J32" s="1">
        <v>2860</v>
      </c>
      <c r="K32" s="1" t="s">
        <v>39</v>
      </c>
      <c r="L32" s="1" t="s">
        <v>113</v>
      </c>
      <c r="M32" s="1" t="s">
        <v>24</v>
      </c>
      <c r="N32" s="1" t="s">
        <v>60</v>
      </c>
      <c r="O32" s="1" t="str">
        <f t="shared" si="0"/>
        <v>No</v>
      </c>
    </row>
    <row r="33" spans="1:15">
      <c r="A33" s="1" t="s">
        <v>114</v>
      </c>
      <c r="B33" s="1" t="s">
        <v>10</v>
      </c>
      <c r="C33" s="1" t="s">
        <v>11</v>
      </c>
      <c r="D33" s="1" t="s">
        <v>26</v>
      </c>
      <c r="E33" s="1" t="s">
        <v>12</v>
      </c>
      <c r="F33" s="1" t="s">
        <v>13</v>
      </c>
      <c r="G33" s="1" t="s">
        <v>14</v>
      </c>
      <c r="H33" s="1" t="s">
        <v>14</v>
      </c>
      <c r="I33" s="1" t="s">
        <v>79</v>
      </c>
      <c r="J33" s="1">
        <v>3120</v>
      </c>
      <c r="K33" s="1" t="s">
        <v>43</v>
      </c>
      <c r="L33" s="1" t="s">
        <v>115</v>
      </c>
      <c r="M33" s="1" t="s">
        <v>116</v>
      </c>
      <c r="N33" s="1" t="s">
        <v>60</v>
      </c>
      <c r="O33" s="1" t="str">
        <f t="shared" si="0"/>
        <v>No</v>
      </c>
    </row>
    <row r="34" spans="1:15">
      <c r="A34" s="1" t="s">
        <v>117</v>
      </c>
      <c r="B34" s="1" t="s">
        <v>10</v>
      </c>
      <c r="C34" s="1" t="s">
        <v>11</v>
      </c>
      <c r="D34" s="1" t="s">
        <v>12</v>
      </c>
      <c r="E34" s="1" t="s">
        <v>27</v>
      </c>
      <c r="F34" s="1" t="s">
        <v>14</v>
      </c>
      <c r="G34" s="1" t="s">
        <v>14</v>
      </c>
      <c r="H34" s="1" t="s">
        <v>14</v>
      </c>
      <c r="I34" s="1" t="s">
        <v>70</v>
      </c>
      <c r="J34" s="1">
        <v>3300</v>
      </c>
      <c r="K34" s="1" t="s">
        <v>118</v>
      </c>
      <c r="L34" s="1" t="s">
        <v>89</v>
      </c>
      <c r="M34" s="1" t="s">
        <v>84</v>
      </c>
      <c r="N34" s="1" t="s">
        <v>91</v>
      </c>
      <c r="O34" s="1" t="str">
        <f t="shared" ref="O34:O61" si="1">IF(AND(J34&lt;1200,K34&gt;2,L34&gt;18),"Yes","No")</f>
        <v>No</v>
      </c>
    </row>
    <row r="35" spans="1:15">
      <c r="A35" s="1" t="s">
        <v>119</v>
      </c>
      <c r="B35" s="1" t="s">
        <v>10</v>
      </c>
      <c r="C35" s="1" t="s">
        <v>11</v>
      </c>
      <c r="D35" s="1" t="s">
        <v>26</v>
      </c>
      <c r="E35" s="1" t="s">
        <v>12</v>
      </c>
      <c r="F35" s="1" t="s">
        <v>13</v>
      </c>
      <c r="G35" s="1" t="s">
        <v>14</v>
      </c>
      <c r="H35" s="1" t="s">
        <v>14</v>
      </c>
      <c r="I35" s="1" t="s">
        <v>34</v>
      </c>
      <c r="J35" s="1">
        <v>3404</v>
      </c>
      <c r="K35" s="1" t="s">
        <v>120</v>
      </c>
      <c r="L35" s="1" t="s">
        <v>121</v>
      </c>
      <c r="M35" s="1" t="s">
        <v>122</v>
      </c>
      <c r="N35" s="1" t="s">
        <v>91</v>
      </c>
      <c r="O35" s="1" t="str">
        <f t="shared" si="1"/>
        <v>No</v>
      </c>
    </row>
    <row r="36" spans="1:15">
      <c r="A36" s="1" t="s">
        <v>123</v>
      </c>
      <c r="B36" s="1" t="s">
        <v>10</v>
      </c>
      <c r="C36" s="1" t="s">
        <v>11</v>
      </c>
      <c r="D36" s="1" t="s">
        <v>26</v>
      </c>
      <c r="E36" s="1" t="s">
        <v>12</v>
      </c>
      <c r="F36" s="1" t="s">
        <v>13</v>
      </c>
      <c r="G36" s="1" t="s">
        <v>14</v>
      </c>
      <c r="H36" s="1" t="s">
        <v>14</v>
      </c>
      <c r="I36" s="1" t="s">
        <v>83</v>
      </c>
      <c r="J36" s="1">
        <v>3825</v>
      </c>
      <c r="K36" s="1" t="s">
        <v>124</v>
      </c>
      <c r="L36" s="1" t="s">
        <v>125</v>
      </c>
      <c r="M36" s="1" t="s">
        <v>24</v>
      </c>
      <c r="N36" s="1" t="s">
        <v>91</v>
      </c>
      <c r="O36" s="1" t="str">
        <f t="shared" si="1"/>
        <v>No</v>
      </c>
    </row>
    <row r="37" spans="1:15">
      <c r="A37" s="1" t="s">
        <v>126</v>
      </c>
      <c r="B37" s="1" t="s">
        <v>10</v>
      </c>
      <c r="C37" s="1" t="s">
        <v>11</v>
      </c>
      <c r="D37" s="1" t="s">
        <v>38</v>
      </c>
      <c r="E37" s="1" t="s">
        <v>26</v>
      </c>
      <c r="F37" s="1" t="s">
        <v>33</v>
      </c>
      <c r="G37" s="1" t="s">
        <v>14</v>
      </c>
      <c r="H37" s="1" t="s">
        <v>14</v>
      </c>
      <c r="I37" s="1" t="s">
        <v>83</v>
      </c>
      <c r="J37" s="1">
        <v>3935</v>
      </c>
      <c r="K37" s="1" t="s">
        <v>39</v>
      </c>
      <c r="L37" s="1" t="s">
        <v>127</v>
      </c>
      <c r="M37" s="1" t="s">
        <v>128</v>
      </c>
      <c r="N37" s="1" t="s">
        <v>87</v>
      </c>
      <c r="O37" s="1" t="str">
        <f t="shared" si="1"/>
        <v>No</v>
      </c>
    </row>
    <row r="38" spans="1:15">
      <c r="A38" s="1" t="s">
        <v>129</v>
      </c>
      <c r="B38" s="1" t="s">
        <v>10</v>
      </c>
      <c r="C38" s="1" t="s">
        <v>11</v>
      </c>
      <c r="D38" s="1" t="s">
        <v>68</v>
      </c>
      <c r="E38" s="1" t="s">
        <v>26</v>
      </c>
      <c r="F38" s="1" t="s">
        <v>13</v>
      </c>
      <c r="G38" s="1" t="s">
        <v>14</v>
      </c>
      <c r="H38" s="1" t="s">
        <v>14</v>
      </c>
      <c r="I38" s="1" t="s">
        <v>83</v>
      </c>
      <c r="J38" s="1">
        <v>4070</v>
      </c>
      <c r="K38" s="1" t="s">
        <v>39</v>
      </c>
      <c r="L38" s="1" t="s">
        <v>130</v>
      </c>
      <c r="M38" s="1" t="s">
        <v>90</v>
      </c>
      <c r="N38" s="1" t="s">
        <v>91</v>
      </c>
      <c r="O38" s="1" t="str">
        <f t="shared" si="1"/>
        <v>No</v>
      </c>
    </row>
    <row r="39" spans="1:15">
      <c r="A39" s="1" t="s">
        <v>131</v>
      </c>
      <c r="B39" s="1" t="s">
        <v>10</v>
      </c>
      <c r="C39" s="1" t="s">
        <v>11</v>
      </c>
      <c r="D39" s="1" t="s">
        <v>26</v>
      </c>
      <c r="E39" s="1" t="s">
        <v>33</v>
      </c>
      <c r="F39" s="1" t="s">
        <v>12</v>
      </c>
      <c r="G39" s="1" t="s">
        <v>13</v>
      </c>
      <c r="H39" s="1" t="s">
        <v>14</v>
      </c>
      <c r="I39" s="1" t="s">
        <v>132</v>
      </c>
      <c r="J39" s="1">
        <v>4425</v>
      </c>
      <c r="K39" s="1" t="s">
        <v>124</v>
      </c>
      <c r="L39" s="1" t="s">
        <v>133</v>
      </c>
      <c r="M39" s="1" t="s">
        <v>134</v>
      </c>
      <c r="N39" s="1" t="s">
        <v>91</v>
      </c>
      <c r="O39" s="1" t="str">
        <f t="shared" si="1"/>
        <v>No</v>
      </c>
    </row>
    <row r="40" spans="1:15">
      <c r="A40" s="1" t="s">
        <v>135</v>
      </c>
      <c r="B40" s="1" t="s">
        <v>10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14</v>
      </c>
      <c r="H40" s="1" t="s">
        <v>14</v>
      </c>
      <c r="I40" s="1" t="s">
        <v>83</v>
      </c>
      <c r="J40" s="1">
        <v>4590</v>
      </c>
      <c r="K40" s="1" t="s">
        <v>47</v>
      </c>
      <c r="L40" s="1" t="s">
        <v>136</v>
      </c>
      <c r="M40" s="1" t="s">
        <v>29</v>
      </c>
      <c r="N40" s="1" t="s">
        <v>91</v>
      </c>
      <c r="O40" s="1" t="str">
        <f t="shared" si="1"/>
        <v>No</v>
      </c>
    </row>
    <row r="41" spans="1:15">
      <c r="A41" s="1" t="s">
        <v>137</v>
      </c>
      <c r="B41" s="1" t="s">
        <v>10</v>
      </c>
      <c r="C41" s="1" t="s">
        <v>11</v>
      </c>
      <c r="D41" s="1" t="s">
        <v>68</v>
      </c>
      <c r="E41" s="1" t="s">
        <v>26</v>
      </c>
      <c r="F41" s="1" t="s">
        <v>12</v>
      </c>
      <c r="G41" s="1" t="s">
        <v>13</v>
      </c>
      <c r="H41" s="1" t="s">
        <v>14</v>
      </c>
      <c r="I41" s="1" t="s">
        <v>83</v>
      </c>
      <c r="J41" s="1">
        <v>4813</v>
      </c>
      <c r="K41" s="1" t="s">
        <v>124</v>
      </c>
      <c r="L41" s="1" t="s">
        <v>125</v>
      </c>
      <c r="M41" s="1" t="s">
        <v>138</v>
      </c>
      <c r="N41" s="1" t="s">
        <v>91</v>
      </c>
      <c r="O41" s="1" t="str">
        <f t="shared" si="1"/>
        <v>No</v>
      </c>
    </row>
    <row r="42" spans="1:15">
      <c r="A42" s="1" t="s">
        <v>139</v>
      </c>
      <c r="B42" s="1" t="s">
        <v>10</v>
      </c>
      <c r="C42" s="1" t="s">
        <v>11</v>
      </c>
      <c r="D42" s="1" t="s">
        <v>26</v>
      </c>
      <c r="E42" s="1" t="s">
        <v>33</v>
      </c>
      <c r="F42" s="1" t="s">
        <v>12</v>
      </c>
      <c r="G42" s="1" t="s">
        <v>13</v>
      </c>
      <c r="H42" s="1" t="s">
        <v>14</v>
      </c>
      <c r="I42" s="1" t="s">
        <v>34</v>
      </c>
      <c r="J42" s="1">
        <v>5198</v>
      </c>
      <c r="K42" s="1" t="s">
        <v>39</v>
      </c>
      <c r="L42" s="1" t="s">
        <v>75</v>
      </c>
      <c r="M42" s="1" t="s">
        <v>140</v>
      </c>
      <c r="N42" s="1" t="s">
        <v>55</v>
      </c>
      <c r="O42" s="1" t="str">
        <f t="shared" si="1"/>
        <v>No</v>
      </c>
    </row>
    <row r="43" spans="1:15">
      <c r="A43" s="1" t="s">
        <v>141</v>
      </c>
      <c r="B43" s="1" t="s">
        <v>10</v>
      </c>
      <c r="C43" s="1" t="s">
        <v>11</v>
      </c>
      <c r="D43" s="1" t="s">
        <v>26</v>
      </c>
      <c r="E43" s="1" t="s">
        <v>13</v>
      </c>
      <c r="F43" s="1" t="s">
        <v>14</v>
      </c>
      <c r="G43" s="1" t="s">
        <v>14</v>
      </c>
      <c r="H43" s="1" t="s">
        <v>14</v>
      </c>
      <c r="I43" s="1" t="s">
        <v>83</v>
      </c>
      <c r="J43" s="1">
        <v>5300</v>
      </c>
      <c r="K43" s="1" t="s">
        <v>47</v>
      </c>
      <c r="L43" s="1" t="s">
        <v>142</v>
      </c>
      <c r="M43" s="1" t="s">
        <v>29</v>
      </c>
      <c r="N43" s="1" t="s">
        <v>91</v>
      </c>
      <c r="O43" s="1" t="str">
        <f t="shared" si="1"/>
        <v>No</v>
      </c>
    </row>
    <row r="44" spans="1:15">
      <c r="A44" s="1" t="s">
        <v>143</v>
      </c>
      <c r="B44" s="1" t="s">
        <v>10</v>
      </c>
      <c r="C44" s="1" t="s">
        <v>11</v>
      </c>
      <c r="D44" s="1" t="s">
        <v>38</v>
      </c>
      <c r="E44" s="1" t="s">
        <v>68</v>
      </c>
      <c r="F44" s="1" t="s">
        <v>26</v>
      </c>
      <c r="G44" s="1" t="s">
        <v>14</v>
      </c>
      <c r="H44" s="1" t="s">
        <v>14</v>
      </c>
      <c r="I44" s="1" t="s">
        <v>132</v>
      </c>
      <c r="J44" s="1">
        <v>6875</v>
      </c>
      <c r="K44" s="1" t="s">
        <v>120</v>
      </c>
      <c r="L44" s="1" t="s">
        <v>130</v>
      </c>
      <c r="M44" s="1" t="s">
        <v>144</v>
      </c>
      <c r="N44" s="1" t="s">
        <v>91</v>
      </c>
      <c r="O44" s="1" t="str">
        <f t="shared" si="1"/>
        <v>No</v>
      </c>
    </row>
    <row r="45" spans="1:15">
      <c r="A45" s="1" t="s">
        <v>145</v>
      </c>
      <c r="B45" s="1" t="s">
        <v>10</v>
      </c>
      <c r="C45" s="1" t="s">
        <v>37</v>
      </c>
      <c r="D45" s="1" t="s">
        <v>21</v>
      </c>
      <c r="E45" s="1" t="s">
        <v>38</v>
      </c>
      <c r="F45" s="1" t="s">
        <v>33</v>
      </c>
      <c r="G45" s="1" t="s">
        <v>13</v>
      </c>
      <c r="H45" s="1" t="s">
        <v>14</v>
      </c>
      <c r="I45" s="1" t="s">
        <v>146</v>
      </c>
      <c r="J45" s="1">
        <v>8010</v>
      </c>
      <c r="K45" s="1" t="s">
        <v>147</v>
      </c>
      <c r="L45" s="1" t="s">
        <v>148</v>
      </c>
      <c r="M45" s="1" t="s">
        <v>149</v>
      </c>
      <c r="N45" s="1" t="s">
        <v>150</v>
      </c>
      <c r="O45" s="1" t="str">
        <f t="shared" si="1"/>
        <v>No</v>
      </c>
    </row>
    <row r="46" spans="1:15">
      <c r="A46" s="1" t="s">
        <v>151</v>
      </c>
      <c r="B46" s="1" t="s">
        <v>10</v>
      </c>
      <c r="C46" s="1" t="s">
        <v>37</v>
      </c>
      <c r="D46" s="1" t="s">
        <v>21</v>
      </c>
      <c r="E46" s="1" t="s">
        <v>38</v>
      </c>
      <c r="F46" s="1" t="s">
        <v>33</v>
      </c>
      <c r="G46" s="1" t="s">
        <v>13</v>
      </c>
      <c r="H46" s="1" t="s">
        <v>14</v>
      </c>
      <c r="I46" s="1" t="s">
        <v>146</v>
      </c>
      <c r="J46" s="1">
        <v>8250</v>
      </c>
      <c r="K46" s="1" t="s">
        <v>17</v>
      </c>
      <c r="L46" s="1" t="s">
        <v>152</v>
      </c>
      <c r="M46" s="1" t="s">
        <v>153</v>
      </c>
      <c r="N46" s="1" t="s">
        <v>91</v>
      </c>
      <c r="O46" s="1" t="str">
        <f t="shared" si="1"/>
        <v>No</v>
      </c>
    </row>
    <row r="47" spans="1:15">
      <c r="A47" s="1" t="s">
        <v>154</v>
      </c>
      <c r="B47" s="1" t="s">
        <v>10</v>
      </c>
      <c r="C47" s="1" t="s">
        <v>37</v>
      </c>
      <c r="D47" s="1" t="s">
        <v>21</v>
      </c>
      <c r="E47" s="1" t="s">
        <v>38</v>
      </c>
      <c r="F47" s="1" t="s">
        <v>33</v>
      </c>
      <c r="G47" s="1" t="s">
        <v>13</v>
      </c>
      <c r="H47" s="1" t="s">
        <v>14</v>
      </c>
      <c r="I47" s="1" t="s">
        <v>146</v>
      </c>
      <c r="J47" s="1">
        <v>8250</v>
      </c>
      <c r="K47" s="1" t="s">
        <v>17</v>
      </c>
      <c r="L47" s="1" t="s">
        <v>152</v>
      </c>
      <c r="M47" s="1" t="s">
        <v>155</v>
      </c>
      <c r="N47" s="1" t="s">
        <v>91</v>
      </c>
      <c r="O47" s="1" t="str">
        <f t="shared" si="1"/>
        <v>No</v>
      </c>
    </row>
    <row r="48" spans="1:15">
      <c r="A48" s="1" t="s">
        <v>156</v>
      </c>
      <c r="B48" s="1" t="s">
        <v>10</v>
      </c>
      <c r="C48" s="1" t="s">
        <v>37</v>
      </c>
      <c r="D48" s="1" t="s">
        <v>21</v>
      </c>
      <c r="E48" s="1" t="s">
        <v>38</v>
      </c>
      <c r="F48" s="1" t="s">
        <v>33</v>
      </c>
      <c r="G48" s="1" t="s">
        <v>13</v>
      </c>
      <c r="H48" s="1" t="s">
        <v>14</v>
      </c>
      <c r="I48" s="1" t="s">
        <v>79</v>
      </c>
      <c r="J48" s="1">
        <v>8560</v>
      </c>
      <c r="K48" s="1" t="s">
        <v>39</v>
      </c>
      <c r="L48" s="1" t="s">
        <v>157</v>
      </c>
      <c r="M48" s="1">
        <v>1</v>
      </c>
      <c r="N48" s="1" t="s">
        <v>91</v>
      </c>
      <c r="O48" s="1" t="str">
        <f t="shared" si="1"/>
        <v>No</v>
      </c>
    </row>
    <row r="49" spans="1:15">
      <c r="A49" s="1" t="s">
        <v>158</v>
      </c>
      <c r="B49" s="1" t="s">
        <v>10</v>
      </c>
      <c r="C49" s="1" t="s">
        <v>11</v>
      </c>
      <c r="D49" s="1" t="s">
        <v>21</v>
      </c>
      <c r="E49" s="1" t="s">
        <v>26</v>
      </c>
      <c r="F49" s="1" t="s">
        <v>33</v>
      </c>
      <c r="G49" s="1" t="s">
        <v>12</v>
      </c>
      <c r="H49" s="1" t="s">
        <v>13</v>
      </c>
      <c r="I49" s="1" t="s">
        <v>79</v>
      </c>
      <c r="J49" s="1">
        <v>9600</v>
      </c>
      <c r="K49" s="1" t="s">
        <v>47</v>
      </c>
      <c r="L49" s="1" t="s">
        <v>89</v>
      </c>
      <c r="M49" s="1" t="s">
        <v>84</v>
      </c>
      <c r="N49" s="1" t="s">
        <v>102</v>
      </c>
      <c r="O49" s="1" t="str">
        <f t="shared" si="1"/>
        <v>No</v>
      </c>
    </row>
    <row r="50" spans="1:15">
      <c r="A50" s="1" t="s">
        <v>159</v>
      </c>
      <c r="B50" s="1" t="s">
        <v>10</v>
      </c>
      <c r="C50" s="1" t="s">
        <v>37</v>
      </c>
      <c r="D50" s="1" t="s">
        <v>21</v>
      </c>
      <c r="E50" s="1" t="s">
        <v>38</v>
      </c>
      <c r="F50" s="1" t="s">
        <v>33</v>
      </c>
      <c r="G50" s="1" t="s">
        <v>13</v>
      </c>
      <c r="H50" s="1" t="s">
        <v>14</v>
      </c>
      <c r="I50" s="1" t="s">
        <v>146</v>
      </c>
      <c r="J50" s="1">
        <v>9625</v>
      </c>
      <c r="K50" s="1" t="s">
        <v>62</v>
      </c>
      <c r="L50" s="1" t="s">
        <v>148</v>
      </c>
      <c r="M50" s="1" t="s">
        <v>149</v>
      </c>
      <c r="N50" s="1" t="s">
        <v>150</v>
      </c>
      <c r="O50" s="1" t="str">
        <f t="shared" si="1"/>
        <v>No</v>
      </c>
    </row>
    <row r="51" spans="1:15">
      <c r="A51" s="1" t="s">
        <v>160</v>
      </c>
      <c r="B51" s="1" t="s">
        <v>10</v>
      </c>
      <c r="C51" s="1" t="s">
        <v>11</v>
      </c>
      <c r="D51" s="1" t="s">
        <v>68</v>
      </c>
      <c r="E51" s="1" t="s">
        <v>26</v>
      </c>
      <c r="F51" s="1" t="s">
        <v>12</v>
      </c>
      <c r="G51" s="1" t="s">
        <v>13</v>
      </c>
      <c r="H51" s="1" t="s">
        <v>14</v>
      </c>
      <c r="I51" s="1" t="s">
        <v>79</v>
      </c>
      <c r="J51" s="1">
        <v>9925</v>
      </c>
      <c r="K51" s="1" t="s">
        <v>47</v>
      </c>
      <c r="L51" s="1" t="s">
        <v>161</v>
      </c>
      <c r="M51" s="1" t="s">
        <v>84</v>
      </c>
      <c r="N51" s="1" t="s">
        <v>91</v>
      </c>
      <c r="O51" s="1" t="str">
        <f t="shared" si="1"/>
        <v>No</v>
      </c>
    </row>
    <row r="52" spans="1:15">
      <c r="A52" s="1" t="s">
        <v>162</v>
      </c>
      <c r="B52" s="1" t="s">
        <v>10</v>
      </c>
      <c r="C52" s="1" t="s">
        <v>11</v>
      </c>
      <c r="D52" s="1" t="s">
        <v>38</v>
      </c>
      <c r="E52" s="1" t="s">
        <v>68</v>
      </c>
      <c r="F52" s="1" t="s">
        <v>26</v>
      </c>
      <c r="G52" s="1" t="s">
        <v>13</v>
      </c>
      <c r="H52" s="1" t="s">
        <v>14</v>
      </c>
      <c r="I52" s="1" t="s">
        <v>132</v>
      </c>
      <c r="J52" s="1">
        <v>9975</v>
      </c>
      <c r="K52" s="1" t="s">
        <v>47</v>
      </c>
      <c r="L52" s="1" t="s">
        <v>108</v>
      </c>
      <c r="M52" s="1" t="s">
        <v>24</v>
      </c>
      <c r="N52" s="1" t="s">
        <v>87</v>
      </c>
      <c r="O52" s="1" t="str">
        <f t="shared" si="1"/>
        <v>No</v>
      </c>
    </row>
    <row r="53" spans="1:15">
      <c r="A53" s="1" t="s">
        <v>163</v>
      </c>
      <c r="B53" s="1" t="s">
        <v>10</v>
      </c>
      <c r="C53" s="1" t="s">
        <v>37</v>
      </c>
      <c r="D53" s="1" t="s">
        <v>33</v>
      </c>
      <c r="E53" s="1" t="s">
        <v>13</v>
      </c>
      <c r="F53" s="1" t="s">
        <v>14</v>
      </c>
      <c r="G53" s="1" t="s">
        <v>14</v>
      </c>
      <c r="H53" s="1" t="s">
        <v>14</v>
      </c>
      <c r="I53" s="1" t="s">
        <v>79</v>
      </c>
      <c r="J53" s="1">
        <v>9990</v>
      </c>
      <c r="K53" s="1" t="s">
        <v>39</v>
      </c>
      <c r="L53" s="1" t="s">
        <v>157</v>
      </c>
      <c r="M53" s="1">
        <v>1</v>
      </c>
      <c r="N53" s="1" t="s">
        <v>91</v>
      </c>
      <c r="O53" s="1" t="str">
        <f t="shared" si="1"/>
        <v>No</v>
      </c>
    </row>
    <row r="54" spans="1:15">
      <c r="A54" s="1" t="s">
        <v>164</v>
      </c>
      <c r="B54" s="1" t="s">
        <v>10</v>
      </c>
      <c r="C54" s="1" t="s">
        <v>37</v>
      </c>
      <c r="D54" s="1" t="s">
        <v>21</v>
      </c>
      <c r="E54" s="1" t="s">
        <v>38</v>
      </c>
      <c r="F54" s="1" t="s">
        <v>33</v>
      </c>
      <c r="G54" s="1" t="s">
        <v>13</v>
      </c>
      <c r="H54" s="1" t="s">
        <v>14</v>
      </c>
      <c r="I54" s="1" t="s">
        <v>146</v>
      </c>
      <c r="J54" s="1">
        <v>10800</v>
      </c>
      <c r="K54" s="1" t="s">
        <v>28</v>
      </c>
      <c r="L54" s="1" t="s">
        <v>148</v>
      </c>
      <c r="M54" s="1" t="s">
        <v>149</v>
      </c>
      <c r="N54" s="1" t="s">
        <v>150</v>
      </c>
      <c r="O54" s="1" t="str">
        <f t="shared" si="1"/>
        <v>No</v>
      </c>
    </row>
    <row r="55" spans="1:15">
      <c r="A55" s="1" t="s">
        <v>165</v>
      </c>
      <c r="B55" s="1" t="s">
        <v>10</v>
      </c>
      <c r="C55" s="1" t="s">
        <v>11</v>
      </c>
      <c r="D55" s="1" t="s">
        <v>68</v>
      </c>
      <c r="E55" s="1" t="s">
        <v>26</v>
      </c>
      <c r="F55" s="1" t="s">
        <v>13</v>
      </c>
      <c r="G55" s="1" t="s">
        <v>14</v>
      </c>
      <c r="H55" s="1" t="s">
        <v>14</v>
      </c>
      <c r="I55" s="1" t="s">
        <v>132</v>
      </c>
      <c r="J55" s="1">
        <v>11000</v>
      </c>
      <c r="K55" s="1" t="s">
        <v>124</v>
      </c>
      <c r="L55" s="1" t="s">
        <v>89</v>
      </c>
      <c r="M55" s="1" t="s">
        <v>24</v>
      </c>
      <c r="N55" s="1" t="s">
        <v>91</v>
      </c>
      <c r="O55" s="1" t="str">
        <f t="shared" si="1"/>
        <v>No</v>
      </c>
    </row>
    <row r="56" spans="1:15">
      <c r="A56" s="1" t="s">
        <v>166</v>
      </c>
      <c r="B56" s="1" t="s">
        <v>10</v>
      </c>
      <c r="C56" s="1" t="s">
        <v>11</v>
      </c>
      <c r="D56" s="1" t="s">
        <v>68</v>
      </c>
      <c r="E56" s="1" t="s">
        <v>26</v>
      </c>
      <c r="F56" s="1" t="s">
        <v>12</v>
      </c>
      <c r="G56" s="1" t="s">
        <v>13</v>
      </c>
      <c r="H56" s="1" t="s">
        <v>14</v>
      </c>
      <c r="I56" s="1" t="s">
        <v>79</v>
      </c>
      <c r="J56" s="1">
        <v>12750</v>
      </c>
      <c r="K56" s="1" t="s">
        <v>47</v>
      </c>
      <c r="L56" s="1" t="s">
        <v>161</v>
      </c>
      <c r="M56" s="1" t="s">
        <v>84</v>
      </c>
      <c r="N56" s="1" t="s">
        <v>91</v>
      </c>
      <c r="O56" s="1" t="str">
        <f t="shared" si="1"/>
        <v>No</v>
      </c>
    </row>
    <row r="57" spans="1:15">
      <c r="A57" s="1" t="s">
        <v>167</v>
      </c>
      <c r="B57" s="1" t="s">
        <v>57</v>
      </c>
      <c r="C57" s="1" t="s">
        <v>74</v>
      </c>
      <c r="D57" s="1" t="s">
        <v>38</v>
      </c>
      <c r="E57" s="1" t="s">
        <v>68</v>
      </c>
      <c r="F57" s="1" t="s">
        <v>33</v>
      </c>
      <c r="G57" s="1" t="s">
        <v>14</v>
      </c>
      <c r="H57" s="1" t="s">
        <v>14</v>
      </c>
      <c r="I57" s="1" t="s">
        <v>132</v>
      </c>
      <c r="J57" s="1">
        <v>14250</v>
      </c>
      <c r="K57" s="1" t="s">
        <v>120</v>
      </c>
      <c r="L57" s="1" t="s">
        <v>80</v>
      </c>
      <c r="M57" s="1">
        <v>1</v>
      </c>
      <c r="N57" s="1" t="s">
        <v>168</v>
      </c>
      <c r="O57" s="1" t="str">
        <f t="shared" si="1"/>
        <v>No</v>
      </c>
    </row>
    <row r="58" spans="1:15">
      <c r="A58" s="1" t="s">
        <v>169</v>
      </c>
      <c r="B58" s="1" t="s">
        <v>10</v>
      </c>
      <c r="C58" s="1" t="s">
        <v>11</v>
      </c>
      <c r="D58" s="1" t="s">
        <v>68</v>
      </c>
      <c r="E58" s="1" t="s">
        <v>26</v>
      </c>
      <c r="F58" s="1" t="s">
        <v>12</v>
      </c>
      <c r="G58" s="1" t="s">
        <v>13</v>
      </c>
      <c r="H58" s="1" t="s">
        <v>14</v>
      </c>
      <c r="I58" s="1" t="s">
        <v>132</v>
      </c>
      <c r="J58" s="1">
        <v>14750</v>
      </c>
      <c r="K58" s="1" t="s">
        <v>170</v>
      </c>
      <c r="L58" s="1" t="s">
        <v>171</v>
      </c>
      <c r="M58" s="1" t="s">
        <v>51</v>
      </c>
      <c r="N58" s="1" t="s">
        <v>87</v>
      </c>
      <c r="O58" s="1" t="str">
        <f t="shared" si="1"/>
        <v>No</v>
      </c>
    </row>
    <row r="59" spans="1:15">
      <c r="A59" s="1" t="s">
        <v>172</v>
      </c>
      <c r="B59" s="1" t="s">
        <v>57</v>
      </c>
      <c r="C59" s="1" t="s">
        <v>74</v>
      </c>
      <c r="D59" s="1" t="s">
        <v>21</v>
      </c>
      <c r="E59" s="1" t="s">
        <v>38</v>
      </c>
      <c r="F59" s="1" t="s">
        <v>33</v>
      </c>
      <c r="G59" s="1" t="s">
        <v>14</v>
      </c>
      <c r="H59" s="1" t="s">
        <v>14</v>
      </c>
      <c r="I59" s="1" t="s">
        <v>132</v>
      </c>
      <c r="J59" s="1">
        <v>15950</v>
      </c>
      <c r="K59" s="1" t="s">
        <v>120</v>
      </c>
      <c r="L59" s="1" t="s">
        <v>80</v>
      </c>
      <c r="M59" s="1">
        <v>1</v>
      </c>
      <c r="N59" s="1" t="s">
        <v>173</v>
      </c>
      <c r="O59" s="1" t="str">
        <f t="shared" si="1"/>
        <v>No</v>
      </c>
    </row>
    <row r="60" spans="1:15">
      <c r="A60" s="1" t="s">
        <v>174</v>
      </c>
      <c r="B60" s="1" t="s">
        <v>10</v>
      </c>
      <c r="C60" s="1" t="s">
        <v>37</v>
      </c>
      <c r="D60" s="1" t="s">
        <v>21</v>
      </c>
      <c r="E60" s="1" t="s">
        <v>38</v>
      </c>
      <c r="F60" s="1" t="s">
        <v>33</v>
      </c>
      <c r="G60" s="1" t="s">
        <v>13</v>
      </c>
      <c r="H60" s="1" t="s">
        <v>14</v>
      </c>
      <c r="I60" s="1" t="s">
        <v>146</v>
      </c>
      <c r="J60" s="1">
        <v>19250</v>
      </c>
      <c r="K60" s="1" t="s">
        <v>17</v>
      </c>
      <c r="L60" s="1" t="s">
        <v>152</v>
      </c>
      <c r="M60" s="1" t="s">
        <v>24</v>
      </c>
      <c r="N60" s="1" t="s">
        <v>87</v>
      </c>
      <c r="O60" s="1" t="str">
        <f t="shared" si="1"/>
        <v>No</v>
      </c>
    </row>
    <row r="61" spans="1:15">
      <c r="A61" s="1" t="s">
        <v>175</v>
      </c>
      <c r="B61" s="1" t="s">
        <v>10</v>
      </c>
      <c r="C61" s="1" t="s">
        <v>11</v>
      </c>
      <c r="D61" s="1" t="s">
        <v>68</v>
      </c>
      <c r="E61" s="1" t="s">
        <v>33</v>
      </c>
      <c r="F61" s="1" t="s">
        <v>14</v>
      </c>
      <c r="G61" s="1" t="s">
        <v>14</v>
      </c>
      <c r="H61" s="1" t="s">
        <v>14</v>
      </c>
      <c r="I61" s="1" t="s">
        <v>146</v>
      </c>
      <c r="J61" s="1">
        <v>25000</v>
      </c>
      <c r="K61" s="1" t="s">
        <v>40</v>
      </c>
      <c r="L61" s="1" t="s">
        <v>152</v>
      </c>
      <c r="M61" s="1" t="s">
        <v>176</v>
      </c>
      <c r="N61" s="1" t="s">
        <v>87</v>
      </c>
      <c r="O61" s="1" t="str">
        <f t="shared" si="1"/>
        <v>No</v>
      </c>
    </row>
  </sheetData>
  <phoneticPr fontId="3" type="noConversion"/>
  <conditionalFormatting sqref="J2:J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61">
    <cfRule type="cellIs" dxfId="0" priority="2" operator="equal">
      <formula>"Yes"</formula>
    </cfRule>
    <cfRule type="cellIs" dxfId="1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Nellis</dc:creator>
  <cp:lastModifiedBy>Ryan Nellis</cp:lastModifiedBy>
  <dcterms:created xsi:type="dcterms:W3CDTF">2026-07-16T15:23:14Z</dcterms:created>
  <dcterms:modified xsi:type="dcterms:W3CDTF">2026-07-16T15:40:19Z</dcterms:modified>
</cp:coreProperties>
</file>